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eae\Ministerio da Cultura\Cultura em Numeros\Eixo 1\Orcamento\SICONFI_ESTADUAL\"/>
    </mc:Choice>
  </mc:AlternateContent>
  <xr:revisionPtr revIDLastSave="0" documentId="13_ncr:1_{93607C32-B8FD-4F74-8467-DD51141E7C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29" i="1" l="1"/>
  <c r="C28" i="1"/>
  <c r="E27" i="1"/>
  <c r="D27" i="1"/>
  <c r="C27" i="1"/>
</calcChain>
</file>

<file path=xl/sharedStrings.xml><?xml version="1.0" encoding="utf-8"?>
<sst xmlns="http://schemas.openxmlformats.org/spreadsheetml/2006/main" count="56" uniqueCount="56">
  <si>
    <t>uf</t>
  </si>
  <si>
    <t>estado</t>
  </si>
  <si>
    <t>total_recebido</t>
  </si>
  <si>
    <t>total_siconfi</t>
  </si>
  <si>
    <t>saldo_a_empenhar</t>
  </si>
  <si>
    <t>percentual_executado</t>
  </si>
  <si>
    <t>DF</t>
  </si>
  <si>
    <t>Distrito Federal</t>
  </si>
  <si>
    <t>TO</t>
  </si>
  <si>
    <t>Tocantins</t>
  </si>
  <si>
    <t>AL</t>
  </si>
  <si>
    <t>Alagoas</t>
  </si>
  <si>
    <t>RS</t>
  </si>
  <si>
    <t>Rio Grande do Sul</t>
  </si>
  <si>
    <t>RR</t>
  </si>
  <si>
    <t>Roraima</t>
  </si>
  <si>
    <t>BA</t>
  </si>
  <si>
    <t>Bahia</t>
  </si>
  <si>
    <t>GO</t>
  </si>
  <si>
    <t>Goias</t>
  </si>
  <si>
    <t>PE</t>
  </si>
  <si>
    <t>Pernambuco</t>
  </si>
  <si>
    <t>MT</t>
  </si>
  <si>
    <t>Mato Grosso</t>
  </si>
  <si>
    <t>AM</t>
  </si>
  <si>
    <t>Amazonas</t>
  </si>
  <si>
    <t>PB</t>
  </si>
  <si>
    <t>Paraiba</t>
  </si>
  <si>
    <t>RO</t>
  </si>
  <si>
    <t>Rondonia</t>
  </si>
  <si>
    <t>SE</t>
  </si>
  <si>
    <t>Sergipe</t>
  </si>
  <si>
    <t>AP</t>
  </si>
  <si>
    <t>Amapa</t>
  </si>
  <si>
    <t>CE</t>
  </si>
  <si>
    <t>Ceara</t>
  </si>
  <si>
    <t>RN</t>
  </si>
  <si>
    <t>Rio Grande do Norte</t>
  </si>
  <si>
    <t>MS</t>
  </si>
  <si>
    <t>Mato Grosso do Sul</t>
  </si>
  <si>
    <t>MA</t>
  </si>
  <si>
    <t>Maranhao</t>
  </si>
  <si>
    <t>PR</t>
  </si>
  <si>
    <t>Parana</t>
  </si>
  <si>
    <t>AC</t>
  </si>
  <si>
    <t>Acre</t>
  </si>
  <si>
    <t>SP</t>
  </si>
  <si>
    <t>Sao Paulo</t>
  </si>
  <si>
    <t>PI</t>
  </si>
  <si>
    <t>Piaui</t>
  </si>
  <si>
    <t>ES</t>
  </si>
  <si>
    <t>Espirito Santo</t>
  </si>
  <si>
    <t>SC</t>
  </si>
  <si>
    <t>Santa Catarina</t>
  </si>
  <si>
    <t>MG</t>
  </si>
  <si>
    <t>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</si>
</sst>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10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7" zoomScale="85" zoomScaleNormal="85" workbookViewId="0">
      <selection activeCell="D29" sqref="D29"/>
    </sheetView>
  </sheetViews>
  <sheetFormatPr defaultRowHeight="15" x14ac:dyDescent="0.25"/>
  <cols>
    <col min="1" max="1" width="4" bestFit="1" customWidth="1"/>
    <col min="2" max="2" width="19.28515625" bestFit="1" customWidth="1"/>
    <col min="3" max="4" width="16.85546875" bestFit="1" customWidth="1"/>
    <col min="5" max="5" width="18.140625" bestFit="1" customWidth="1"/>
    <col min="6" max="6" width="21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26049643.670000002</v>
      </c>
      <c r="D2" s="2">
        <v>50526786.43</v>
      </c>
      <c r="E2" s="2">
        <v>-24477142.760000002</v>
      </c>
      <c r="F2">
        <v>193.9634456043982</v>
      </c>
    </row>
    <row r="3" spans="1:6" x14ac:dyDescent="0.25">
      <c r="A3" t="s">
        <v>8</v>
      </c>
      <c r="B3" t="s">
        <v>9</v>
      </c>
      <c r="C3" s="2">
        <v>25681441.210000001</v>
      </c>
      <c r="D3" s="2">
        <v>30500000</v>
      </c>
      <c r="E3" s="2">
        <v>-4818558.7899999991</v>
      </c>
      <c r="F3">
        <v>118.7628052125195</v>
      </c>
    </row>
    <row r="4" spans="1:6" x14ac:dyDescent="0.25">
      <c r="A4" t="s">
        <v>10</v>
      </c>
      <c r="B4" t="s">
        <v>11</v>
      </c>
      <c r="C4" s="2">
        <v>43943300.329999998</v>
      </c>
      <c r="D4" s="2">
        <v>45371630.020000003</v>
      </c>
      <c r="E4" s="2">
        <v>-1428329.6900000051</v>
      </c>
      <c r="F4">
        <v>103.2503923903615</v>
      </c>
    </row>
    <row r="5" spans="1:6" x14ac:dyDescent="0.25">
      <c r="A5" t="s">
        <v>12</v>
      </c>
      <c r="B5" t="s">
        <v>13</v>
      </c>
      <c r="C5" s="2">
        <v>91491111.379999995</v>
      </c>
      <c r="D5" s="2">
        <v>94347796.969999999</v>
      </c>
      <c r="E5" s="2">
        <v>-2856685.590000004</v>
      </c>
      <c r="F5">
        <v>103.1223640711228</v>
      </c>
    </row>
    <row r="6" spans="1:6" x14ac:dyDescent="0.25">
      <c r="A6" t="s">
        <v>14</v>
      </c>
      <c r="B6" t="s">
        <v>15</v>
      </c>
      <c r="C6" s="2">
        <v>19401177.57</v>
      </c>
      <c r="D6" s="2">
        <v>20001545.120000001</v>
      </c>
      <c r="E6" s="2">
        <v>-600367.55000000075</v>
      </c>
      <c r="F6">
        <v>103.0944902588199</v>
      </c>
    </row>
    <row r="7" spans="1:6" x14ac:dyDescent="0.25">
      <c r="A7" t="s">
        <v>16</v>
      </c>
      <c r="B7" t="s">
        <v>17</v>
      </c>
      <c r="C7" s="2">
        <v>147863976.75999999</v>
      </c>
      <c r="D7" s="2">
        <v>151916794</v>
      </c>
      <c r="E7" s="2">
        <v>-4052817.24000001</v>
      </c>
      <c r="F7">
        <v>102.7409091306791</v>
      </c>
    </row>
    <row r="8" spans="1:6" x14ac:dyDescent="0.25">
      <c r="A8" t="s">
        <v>18</v>
      </c>
      <c r="B8" t="s">
        <v>19</v>
      </c>
      <c r="C8" s="2">
        <v>68579249.900000006</v>
      </c>
      <c r="D8" s="2">
        <v>70164463.319999993</v>
      </c>
      <c r="E8" s="2">
        <v>-1585213.4199999869</v>
      </c>
      <c r="F8">
        <v>102.3115059180605</v>
      </c>
    </row>
    <row r="9" spans="1:6" x14ac:dyDescent="0.25">
      <c r="A9" t="s">
        <v>20</v>
      </c>
      <c r="B9" t="s">
        <v>21</v>
      </c>
      <c r="C9" s="2">
        <v>100158734.16</v>
      </c>
      <c r="D9" s="2">
        <v>101419446.93000001</v>
      </c>
      <c r="E9" s="2">
        <v>-1260712.770000011</v>
      </c>
      <c r="F9">
        <v>101.2587147596994</v>
      </c>
    </row>
    <row r="10" spans="1:6" x14ac:dyDescent="0.25">
      <c r="A10" t="s">
        <v>22</v>
      </c>
      <c r="B10" t="s">
        <v>23</v>
      </c>
      <c r="C10" s="2">
        <v>36006534.909999996</v>
      </c>
      <c r="D10" s="2">
        <v>36326113.849999987</v>
      </c>
      <c r="E10" s="2">
        <v>-319578.93999999762</v>
      </c>
      <c r="F10">
        <v>100.8875581635356</v>
      </c>
    </row>
    <row r="11" spans="1:6" x14ac:dyDescent="0.25">
      <c r="A11" t="s">
        <v>24</v>
      </c>
      <c r="B11" t="s">
        <v>25</v>
      </c>
      <c r="C11" s="2">
        <v>51714200.409999996</v>
      </c>
      <c r="D11" s="2">
        <v>51714200.409999996</v>
      </c>
      <c r="E11" s="2">
        <v>0</v>
      </c>
      <c r="F11">
        <v>100</v>
      </c>
    </row>
    <row r="12" spans="1:6" x14ac:dyDescent="0.25">
      <c r="A12" t="s">
        <v>26</v>
      </c>
      <c r="B12" t="s">
        <v>27</v>
      </c>
      <c r="C12" s="2">
        <v>48677436.899999999</v>
      </c>
      <c r="D12" s="2">
        <v>48677436.899999999</v>
      </c>
      <c r="E12" s="2">
        <v>0</v>
      </c>
      <c r="F12">
        <v>100</v>
      </c>
    </row>
    <row r="13" spans="1:6" x14ac:dyDescent="0.25">
      <c r="A13" t="s">
        <v>28</v>
      </c>
      <c r="B13" t="s">
        <v>29</v>
      </c>
      <c r="C13" s="2">
        <v>27563051.32</v>
      </c>
      <c r="D13" s="2">
        <v>27563051.32</v>
      </c>
      <c r="E13" s="2">
        <v>0</v>
      </c>
      <c r="F13">
        <v>100</v>
      </c>
    </row>
    <row r="14" spans="1:6" x14ac:dyDescent="0.25">
      <c r="A14" t="s">
        <v>30</v>
      </c>
      <c r="B14" t="s">
        <v>31</v>
      </c>
      <c r="C14" s="2">
        <v>32759672.120000001</v>
      </c>
      <c r="D14" s="2">
        <v>32759672.120000001</v>
      </c>
      <c r="E14" s="2">
        <v>0</v>
      </c>
      <c r="F14">
        <v>100</v>
      </c>
    </row>
    <row r="15" spans="1:6" x14ac:dyDescent="0.25">
      <c r="A15" t="s">
        <v>32</v>
      </c>
      <c r="B15" t="s">
        <v>33</v>
      </c>
      <c r="C15" s="2">
        <v>22697846.23</v>
      </c>
      <c r="D15" s="2">
        <v>22697846</v>
      </c>
      <c r="E15" s="2">
        <v>0.23000000044703481</v>
      </c>
      <c r="F15">
        <v>99.999998986687999</v>
      </c>
    </row>
    <row r="16" spans="1:6" x14ac:dyDescent="0.25">
      <c r="A16" t="s">
        <v>34</v>
      </c>
      <c r="B16" t="s">
        <v>35</v>
      </c>
      <c r="C16" s="2">
        <v>95447562.859999999</v>
      </c>
      <c r="D16" s="2">
        <v>95446838.359999999</v>
      </c>
      <c r="E16" s="2">
        <v>724.5</v>
      </c>
      <c r="F16">
        <v>99.999240944474337</v>
      </c>
    </row>
    <row r="17" spans="1:6" x14ac:dyDescent="0.25">
      <c r="A17" t="s">
        <v>36</v>
      </c>
      <c r="B17" t="s">
        <v>37</v>
      </c>
      <c r="C17" s="2">
        <v>39783840.079999998</v>
      </c>
      <c r="D17" s="2">
        <v>39781876.700000003</v>
      </c>
      <c r="E17" s="2">
        <v>1963.3799999952321</v>
      </c>
      <c r="F17">
        <v>99.995064880624767</v>
      </c>
    </row>
    <row r="18" spans="1:6" x14ac:dyDescent="0.25">
      <c r="A18" t="s">
        <v>38</v>
      </c>
      <c r="B18" t="s">
        <v>39</v>
      </c>
      <c r="C18" s="2">
        <v>27199344.329999998</v>
      </c>
      <c r="D18" s="2">
        <v>27173100</v>
      </c>
      <c r="E18" s="2">
        <v>26244.330000001941</v>
      </c>
      <c r="F18">
        <v>99.903511166734063</v>
      </c>
    </row>
    <row r="19" spans="1:6" x14ac:dyDescent="0.25">
      <c r="A19" t="s">
        <v>40</v>
      </c>
      <c r="B19" t="s">
        <v>41</v>
      </c>
      <c r="C19" s="2">
        <v>81466999.569999993</v>
      </c>
      <c r="D19" s="2">
        <v>81187997</v>
      </c>
      <c r="E19" s="2">
        <v>279002.56999999291</v>
      </c>
      <c r="F19">
        <v>99.657526886380225</v>
      </c>
    </row>
    <row r="20" spans="1:6" x14ac:dyDescent="0.25">
      <c r="A20" t="s">
        <v>42</v>
      </c>
      <c r="B20" t="s">
        <v>43</v>
      </c>
      <c r="C20" s="2">
        <v>98499446.700000003</v>
      </c>
      <c r="D20" s="2">
        <v>98068968</v>
      </c>
      <c r="E20" s="2">
        <v>430478.70000000298</v>
      </c>
      <c r="F20">
        <v>99.562963331853922</v>
      </c>
    </row>
    <row r="21" spans="1:6" x14ac:dyDescent="0.25">
      <c r="A21" t="s">
        <v>44</v>
      </c>
      <c r="B21" t="s">
        <v>45</v>
      </c>
      <c r="C21" s="2">
        <v>22463131.190000001</v>
      </c>
      <c r="D21" s="2">
        <v>22155797.539999999</v>
      </c>
      <c r="E21" s="2">
        <v>307333.65000000218</v>
      </c>
      <c r="F21">
        <v>98.631830765709012</v>
      </c>
    </row>
    <row r="22" spans="1:6" x14ac:dyDescent="0.25">
      <c r="A22" t="s">
        <v>46</v>
      </c>
      <c r="B22" t="s">
        <v>47</v>
      </c>
      <c r="C22" s="2">
        <v>357575060.5</v>
      </c>
      <c r="D22" s="2">
        <v>352395000</v>
      </c>
      <c r="E22" s="2">
        <v>5180060.5</v>
      </c>
      <c r="F22">
        <v>98.551336188615423</v>
      </c>
    </row>
    <row r="23" spans="1:6" x14ac:dyDescent="0.25">
      <c r="A23" t="s">
        <v>48</v>
      </c>
      <c r="B23" t="s">
        <v>49</v>
      </c>
      <c r="C23" s="2">
        <v>42268211.530000001</v>
      </c>
      <c r="D23" s="2">
        <v>41090911</v>
      </c>
      <c r="E23" s="2">
        <v>1177300.530000001</v>
      </c>
      <c r="F23">
        <v>97.214690455581703</v>
      </c>
    </row>
    <row r="24" spans="1:6" x14ac:dyDescent="0.25">
      <c r="A24" t="s">
        <v>50</v>
      </c>
      <c r="B24" t="s">
        <v>51</v>
      </c>
      <c r="C24" s="2">
        <v>40760549.57</v>
      </c>
      <c r="D24" s="2">
        <v>38647549.57</v>
      </c>
      <c r="E24" s="2">
        <v>2113000</v>
      </c>
      <c r="F24">
        <v>94.81606596993683</v>
      </c>
    </row>
    <row r="25" spans="1:6" x14ac:dyDescent="0.25">
      <c r="A25" t="s">
        <v>52</v>
      </c>
      <c r="B25" t="s">
        <v>53</v>
      </c>
      <c r="C25" s="2">
        <v>60192685.290000007</v>
      </c>
      <c r="D25" s="2">
        <v>55783445.289999999</v>
      </c>
      <c r="E25" s="2">
        <v>4409240.0000000084</v>
      </c>
      <c r="F25">
        <v>92.67479100034015</v>
      </c>
    </row>
    <row r="26" spans="1:6" x14ac:dyDescent="0.25">
      <c r="A26" t="s">
        <v>54</v>
      </c>
      <c r="B26" t="s">
        <v>55</v>
      </c>
      <c r="C26" s="2">
        <v>182397750.56</v>
      </c>
      <c r="D26" s="2">
        <v>48207725.460000001</v>
      </c>
      <c r="E26" s="2">
        <v>134190025.09999999</v>
      </c>
      <c r="F26">
        <v>26.429999992868339</v>
      </c>
    </row>
    <row r="27" spans="1:6" x14ac:dyDescent="0.25">
      <c r="C27" s="3">
        <f>SUM(C2:C26)</f>
        <v>1790641959.05</v>
      </c>
      <c r="D27" s="3">
        <f>SUM(D2:D26)</f>
        <v>1683925992.3099999</v>
      </c>
      <c r="E27" s="3">
        <f>C27-D27</f>
        <v>106715966.74000001</v>
      </c>
    </row>
    <row r="28" spans="1:6" x14ac:dyDescent="0.25">
      <c r="C28" s="4">
        <f>D27/C27</f>
        <v>0.94040351495135488</v>
      </c>
    </row>
    <row r="29" spans="1:6" x14ac:dyDescent="0.25">
      <c r="C29" s="5">
        <f>100%-C28</f>
        <v>5.959648504864512E-2</v>
      </c>
      <c r="D2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Buril Saraiva Lins</cp:lastModifiedBy>
  <dcterms:created xsi:type="dcterms:W3CDTF">2026-04-10T20:57:29Z</dcterms:created>
  <dcterms:modified xsi:type="dcterms:W3CDTF">2026-04-12T15:55:19Z</dcterms:modified>
</cp:coreProperties>
</file>